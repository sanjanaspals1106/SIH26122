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1540c87b6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vil" sheetId="1" r:id="R0ce7981d2bd24e2a"/>
    <x:sheet xmlns:r="http://schemas.openxmlformats.org/officeDocument/2006/relationships" name="Piping" sheetId="2" r:id="Rcd534d7d4bf94ca3"/>
    <x:sheet xmlns:r="http://schemas.openxmlformats.org/officeDocument/2006/relationships" name="Electrical" sheetId="3" r:id="R47f2e7b0434f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0.0%"/>
  </x:numFmts>
  <x:fonts count="6">
    <x:font>
      <x:sz val="11"/>
      <x:name val="Carlito"/>
    </x:font>
    <x:font>
      <x:sz val="10"/>
      <x:color rgb="FF202020"/>
      <x:name val="Arial"/>
    </x:font>
    <x:font>
      <x:b/>
      <x:sz val="15"/>
      <x:color rgb="FF142B4A"/>
      <x:name val="Arial"/>
    </x:font>
    <x:font>
      <x:i/>
      <x:sz val="9"/>
      <x:color rgb="FF555555"/>
      <x:name val="Arial"/>
    </x:font>
    <x:font>
      <x:b/>
      <x:sz val="10"/>
      <x:color rgb="FFFFFFFF"/>
      <x:name val="Arial"/>
    </x:font>
    <x:font>
      <x:b/>
      <x:sz val="10"/>
      <x:color rgb="FF142B4A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E4D78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eb638c16d34354" /><Relationship Type="http://schemas.openxmlformats.org/officeDocument/2006/relationships/theme" Target="/xl/theme/theme1.xml" Id="R4829e91a9cd643f3" /><Relationship Type="http://schemas.openxmlformats.org/officeDocument/2006/relationships/sharedStrings" Target="/xl/sharedStrings.xml" Id="Rae0d8c79eb0e493c" /><Relationship Type="http://schemas.openxmlformats.org/officeDocument/2006/relationships/worksheet" Target="/xl/worksheets/sheet1.xml" Id="R0ce7981d2bd24e2a" /><Relationship Type="http://schemas.openxmlformats.org/officeDocument/2006/relationships/worksheet" Target="/xl/worksheets/sheet2.xml" Id="Rcd534d7d4bf94ca3" /><Relationship Type="http://schemas.openxmlformats.org/officeDocument/2006/relationships/worksheet" Target="/xl/worksheets/sheet3.xml" Id="R47f2e7b0434f4e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39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0" hidden="0" customWidth="1"/>
  </x:cols>
  <x:sheetData>
    <x:row r="2" ht="24" customHeight="1">
      <x:c r="A2" s="5" t="str">
        <x:v>Civil Daily Discipline Report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18" customHeight="1">
      <x:c r="A3" s="7" t="str">
        <x:v>North Field Utility Corridor | Pump Station 3 Tie In | Report date: 14 Aug 2026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2" t="str">
        <x:v>L5 Activity ID</x:v>
      </x:c>
      <x:c r="B5" s="12" t="str">
        <x:v>L6 Task ID</x:v>
      </x:c>
      <x:c r="C5" s="12" t="str">
        <x:v>Work description</x:v>
      </x:c>
      <x:c r="D5" s="12" t="str">
        <x:v>Unit</x:v>
      </x:c>
      <x:c r="E5" s="12" t="str">
        <x:v>Planned qty</x:v>
      </x:c>
      <x:c r="F5" s="12" t="str">
        <x:v>Prior actual</x:v>
      </x:c>
      <x:c r="G5" s="12" t="str">
        <x:v>Today actual</x:v>
      </x:c>
      <x:c r="H5" s="12" t="str">
        <x:v>Cumulative actual</x:v>
      </x:c>
      <x:c r="I5" s="12" t="str">
        <x:v>Progress</x:v>
      </x:c>
      <x:c r="J5" s="12" t="str">
        <x:v>Status and evidence</x:v>
      </x:c>
    </x:row>
    <x:row r="6" ht="38" customHeight="1">
      <x:c r="A6" s="14" t="str">
        <x:v>CIV-PS3-TR-0180</x:v>
      </x:c>
      <x:c r="B6" s="14" t="str">
        <x:v>CIV-PS3-TR-0180-01</x:v>
      </x:c>
      <x:c r="C6" s="14" t="str">
        <x:v>Excavate utility trench CH 0+180 to CH 0+220</x:v>
      </x:c>
      <x:c r="D6" s="14" t="str">
        <x:v>m</x:v>
      </x:c>
      <x:c r="E6" s="15" t="n">
        <x:v>40</x:v>
      </x:c>
      <x:c r="F6" s="15" t="n">
        <x:v>0</x:v>
      </x:c>
      <x:c r="G6" s="15" t="n">
        <x:v>40</x:v>
      </x:c>
      <x:c r="H6" s="15" t="n">
        <x:v>40</x:v>
      </x:c>
      <x:c r="I6" s="16" t="n">
        <x:f>H6/E6</x:f>
        <x:v>1</x:v>
      </x:c>
      <x:c r="J6" s="14" t="str">
        <x:v>Quantity measured along chainage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>
      <x:c r="A8" s="19" t="str">
        <x:v>Report summary</x:v>
      </x:c>
      <x:c r="B8" s="19" t="str">
        <x:v>Value</x:v>
      </x:c>
      <x:c r="C8" s="1"/>
      <x:c r="D8" s="19" t="str">
        <x:v>Site conditions</x:v>
      </x:c>
      <x:c r="E8" s="19" t="str">
        <x:v>Value</x:v>
      </x:c>
      <x:c r="F8" s="1"/>
      <x:c r="G8" s="19" t="str">
        <x:v>References</x:v>
      </x:c>
      <x:c r="H8" s="19" t="str">
        <x:v>File</x:v>
      </x:c>
      <x:c r="I8" s="1"/>
      <x:c r="J8" s="1"/>
    </x:row>
    <x:row r="9">
      <x:c r="A9" s="20" t="str">
        <x:v>Total activities</x:v>
      </x:c>
      <x:c r="B9" s="20" t="n">
        <x:v>1</x:v>
      </x:c>
      <x:c r="C9" s="1"/>
      <x:c r="D9" s="23" t="str">
        <x:v>Weather</x:v>
      </x:c>
      <x:c r="E9" s="23" t="str">
        <x:v>Overcast; light rain after 1500 h</x:v>
      </x:c>
      <x:c r="F9" s="1"/>
      <x:c r="G9" s="20" t="str">
        <x:v>Daily report</x:v>
      </x:c>
      <x:c r="H9" s="20" t="str">
        <x:v>daily_progress_report_2026-08-14.txt</x:v>
      </x:c>
      <x:c r="I9" s="1"/>
      <x:c r="J9" s="1"/>
    </x:row>
    <x:row r="10">
      <x:c r="A10" s="20" t="str">
        <x:v>Current physical progress</x:v>
      </x:c>
      <x:c r="B10" s="24" t="n">
        <x:f>I6</x:f>
        <x:v>1</x:v>
      </x:c>
      <x:c r="C10" s="1"/>
      <x:c r="D10" s="23" t="str">
        <x:v>Manpower</x:v>
      </x:c>
      <x:c r="E10" s="23" t="n">
        <x:v>18</x:v>
      </x:c>
      <x:c r="F10" s="1"/>
      <x:c r="G10" s="20" t="str">
        <x:v>Diary scan</x:v>
      </x:c>
      <x:c r="H10" s="20" t="str">
        <x:v>site_diary_2026-08-14.png</x:v>
      </x:c>
      <x:c r="I10" s="1"/>
      <x:c r="J10" s="1"/>
    </x:row>
  </x:sheetData>
  <x:mergeCells>
    <x:mergeCell ref="A2:J2"/>
    <x:mergeCell ref="A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39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0" hidden="0" customWidth="1"/>
  </x:cols>
  <x:sheetData>
    <x:row r="2" ht="24" customHeight="1">
      <x:c r="A2" s="5" t="str">
        <x:v>Piping Daily Discipline Report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18" customHeight="1">
      <x:c r="A3" s="7" t="str">
        <x:v>North Field Utility Corridor | Pump Station 3 Tie In | Report date: 14 Aug 2026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2" t="str">
        <x:v>L5 Activity ID</x:v>
      </x:c>
      <x:c r="B5" s="12" t="str">
        <x:v>L6 Task ID</x:v>
      </x:c>
      <x:c r="C5" s="12" t="str">
        <x:v>Work description</x:v>
      </x:c>
      <x:c r="D5" s="12" t="str">
        <x:v>Unit</x:v>
      </x:c>
      <x:c r="E5" s="12" t="str">
        <x:v>Planned qty</x:v>
      </x:c>
      <x:c r="F5" s="12" t="str">
        <x:v>Prior actual</x:v>
      </x:c>
      <x:c r="G5" s="12" t="str">
        <x:v>Today actual</x:v>
      </x:c>
      <x:c r="H5" s="12" t="str">
        <x:v>Cumulative actual</x:v>
      </x:c>
      <x:c r="I5" s="12" t="str">
        <x:v>Progress</x:v>
      </x:c>
      <x:c r="J5" s="12" t="str">
        <x:v>Status and evidence</x:v>
      </x:c>
    </x:row>
    <x:row r="6" ht="38" customHeight="1">
      <x:c r="A6" s="14" t="str">
        <x:v>PIP-PS3-WLD-024</x:v>
      </x:c>
      <x:c r="B6" s="14" t="str">
        <x:v>PIP-PS3-WLD-024-01</x:v>
      </x:c>
      <x:c r="C6" s="14" t="str">
        <x:v>Complete field weld joints for utility header</x:v>
      </x:c>
      <x:c r="D6" s="14" t="str">
        <x:v>joints</x:v>
      </x:c>
      <x:c r="E6" s="15" t="n">
        <x:v>24</x:v>
      </x:c>
      <x:c r="F6" s="15" t="n">
        <x:v>20</x:v>
      </x:c>
      <x:c r="G6" s="15" t="n">
        <x:v>2</x:v>
      </x:c>
      <x:c r="H6" s="15" t="n">
        <x:v>22</x:v>
      </x:c>
      <x:c r="I6" s="16" t="n">
        <x:f>H6/E6</x:f>
        <x:v>0.9166666666666666</x:v>
      </x:c>
      <x:c r="J6" s="14" t="str">
        <x:v>Two joints VT accepted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>
      <x:c r="A8" s="19" t="str">
        <x:v>Report summary</x:v>
      </x:c>
      <x:c r="B8" s="19" t="str">
        <x:v>Value</x:v>
      </x:c>
      <x:c r="C8" s="1"/>
      <x:c r="D8" s="19" t="str">
        <x:v>Site conditions</x:v>
      </x:c>
      <x:c r="E8" s="19" t="str">
        <x:v>Value</x:v>
      </x:c>
      <x:c r="F8" s="1"/>
      <x:c r="G8" s="19" t="str">
        <x:v>References</x:v>
      </x:c>
      <x:c r="H8" s="19" t="str">
        <x:v>File</x:v>
      </x:c>
      <x:c r="I8" s="1"/>
      <x:c r="J8" s="1"/>
    </x:row>
    <x:row r="9">
      <x:c r="A9" s="20" t="str">
        <x:v>Total activities</x:v>
      </x:c>
      <x:c r="B9" s="20" t="n">
        <x:v>1</x:v>
      </x:c>
      <x:c r="C9" s="1"/>
      <x:c r="D9" s="23" t="str">
        <x:v>Weather</x:v>
      </x:c>
      <x:c r="E9" s="23" t="str">
        <x:v>Overcast; light rain after 1500 h</x:v>
      </x:c>
      <x:c r="F9" s="1"/>
      <x:c r="G9" s="20" t="str">
        <x:v>Daily report</x:v>
      </x:c>
      <x:c r="H9" s="20" t="str">
        <x:v>daily_progress_report_2026-08-14.txt</x:v>
      </x:c>
      <x:c r="I9" s="1"/>
      <x:c r="J9" s="1"/>
    </x:row>
    <x:row r="10">
      <x:c r="A10" s="20" t="str">
        <x:v>Current physical progress</x:v>
      </x:c>
      <x:c r="B10" s="24" t="n">
        <x:f>I6</x:f>
        <x:v>0.9166666666666666</x:v>
      </x:c>
      <x:c r="C10" s="1"/>
      <x:c r="D10" s="23" t="str">
        <x:v>Manpower</x:v>
      </x:c>
      <x:c r="E10" s="23" t="n">
        <x:v>18</x:v>
      </x:c>
      <x:c r="F10" s="1"/>
      <x:c r="G10" s="20" t="str">
        <x:v>Diary scan</x:v>
      </x:c>
      <x:c r="H10" s="20" t="str">
        <x:v>site_diary_2026-08-14.png</x:v>
      </x:c>
      <x:c r="I10" s="1"/>
      <x:c r="J10" s="1"/>
    </x:row>
  </x:sheetData>
  <x:mergeCells>
    <x:mergeCell ref="A2:J2"/>
    <x:mergeCell ref="A3:J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39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30" hidden="0" customWidth="1"/>
  </x:cols>
  <x:sheetData>
    <x:row r="2" ht="24" customHeight="1">
      <x:c r="A2" s="5" t="str">
        <x:v>Electrical Daily Discipline Report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18" customHeight="1">
      <x:c r="A3" s="7" t="str">
        <x:v>North Field Utility Corridor | Pump Station 3 Tie In | Report date: 14 Aug 2026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2" t="str">
        <x:v>L5 Activity ID</x:v>
      </x:c>
      <x:c r="B5" s="12" t="str">
        <x:v>L6 Task ID</x:v>
      </x:c>
      <x:c r="C5" s="12" t="str">
        <x:v>Work description</x:v>
      </x:c>
      <x:c r="D5" s="12" t="str">
        <x:v>Unit</x:v>
      </x:c>
      <x:c r="E5" s="12" t="str">
        <x:v>Planned qty</x:v>
      </x:c>
      <x:c r="F5" s="12" t="str">
        <x:v>Prior actual</x:v>
      </x:c>
      <x:c r="G5" s="12" t="str">
        <x:v>Today actual</x:v>
      </x:c>
      <x:c r="H5" s="12" t="str">
        <x:v>Cumulative actual</x:v>
      </x:c>
      <x:c r="I5" s="12" t="str">
        <x:v>Progress</x:v>
      </x:c>
      <x:c r="J5" s="12" t="str">
        <x:v>Status and evidence</x:v>
      </x:c>
    </x:row>
    <x:row r="6" ht="38" customHeight="1">
      <x:c r="A6" s="14" t="str">
        <x:v>ELE-PS3-CT-011</x:v>
      </x:c>
      <x:c r="B6" s="14" t="str">
        <x:v>ELE-PS3-CT-011-02</x:v>
      </x:c>
      <x:c r="C6" s="14" t="str">
        <x:v>Place cable trench bedding at MCC-02</x:v>
      </x:c>
      <x:c r="D6" s="14" t="str">
        <x:v>m</x:v>
      </x:c>
      <x:c r="E6" s="15" t="n">
        <x:v>160</x:v>
      </x:c>
      <x:c r="F6" s="15" t="n">
        <x:v>120</x:v>
      </x:c>
      <x:c r="G6" s="15" t="n">
        <x:v>20</x:v>
      </x:c>
      <x:c r="H6" s="15" t="n">
        <x:v>140</x:v>
      </x:c>
      <x:c r="I6" s="16" t="n">
        <x:f>H6/E6</x:f>
        <x:v>0.875</x:v>
      </x:c>
      <x:c r="J6" s="14" t="str">
        <x:v>Prepare for inspection next shift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>
      <x:c r="A8" s="19" t="str">
        <x:v>Report summary</x:v>
      </x:c>
      <x:c r="B8" s="19" t="str">
        <x:v>Value</x:v>
      </x:c>
      <x:c r="C8" s="1"/>
      <x:c r="D8" s="19" t="str">
        <x:v>Site conditions</x:v>
      </x:c>
      <x:c r="E8" s="19" t="str">
        <x:v>Value</x:v>
      </x:c>
      <x:c r="F8" s="1"/>
      <x:c r="G8" s="19" t="str">
        <x:v>References</x:v>
      </x:c>
      <x:c r="H8" s="19" t="str">
        <x:v>File</x:v>
      </x:c>
      <x:c r="I8" s="1"/>
      <x:c r="J8" s="1"/>
    </x:row>
    <x:row r="9">
      <x:c r="A9" s="20" t="str">
        <x:v>Total activities</x:v>
      </x:c>
      <x:c r="B9" s="20" t="n">
        <x:v>1</x:v>
      </x:c>
      <x:c r="C9" s="1"/>
      <x:c r="D9" s="23" t="str">
        <x:v>Weather</x:v>
      </x:c>
      <x:c r="E9" s="23" t="str">
        <x:v>Overcast; light rain after 1500 h</x:v>
      </x:c>
      <x:c r="F9" s="1"/>
      <x:c r="G9" s="20" t="str">
        <x:v>Daily report</x:v>
      </x:c>
      <x:c r="H9" s="20" t="str">
        <x:v>daily_progress_report_2026-08-14.txt</x:v>
      </x:c>
      <x:c r="I9" s="1"/>
      <x:c r="J9" s="1"/>
    </x:row>
    <x:row r="10">
      <x:c r="A10" s="20" t="str">
        <x:v>Current physical progress</x:v>
      </x:c>
      <x:c r="B10" s="24" t="n">
        <x:f>I6</x:f>
        <x:v>0.875</x:v>
      </x:c>
      <x:c r="C10" s="1"/>
      <x:c r="D10" s="23" t="str">
        <x:v>Manpower</x:v>
      </x:c>
      <x:c r="E10" s="23" t="n">
        <x:v>18</x:v>
      </x:c>
      <x:c r="F10" s="1"/>
      <x:c r="G10" s="20" t="str">
        <x:v>Diary scan</x:v>
      </x:c>
      <x:c r="H10" s="20" t="str">
        <x:v>site_diary_2026-08-14.png</x:v>
      </x:c>
      <x:c r="I10" s="1"/>
      <x:c r="J10" s="1"/>
    </x:row>
  </x:sheetData>
  <x:mergeCells>
    <x:mergeCell ref="A2:J2"/>
    <x:mergeCell ref="A3:J3"/>
  </x:mergeCells>
  <x:pageMargins left="0.7" right="0.7" top="0.75" bottom="0.75" header="0.3" footer="0.3"/>
</x:worksheet>
</file>